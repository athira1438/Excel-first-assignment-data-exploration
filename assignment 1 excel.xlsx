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8_{E17FE819-E6DF-4BF4-B40E-6ABFB8D03EF3}" xr6:coauthVersionLast="47" xr6:coauthVersionMax="47" xr10:uidLastSave="{00000000-0000-0000-0000-000000000000}"/>
  <bookViews>
    <workbookView xWindow="-120" yWindow="-120" windowWidth="21840" windowHeight="13020" xr2:uid="{1FA4F6F7-6AF3-47A3-893D-892F5EDAFC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4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2" i="1"/>
  <c r="P3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2" i="1"/>
  <c r="P23" i="1"/>
  <c r="P20" i="1"/>
  <c r="O10" i="1"/>
  <c r="E36" i="1"/>
  <c r="D36" i="1"/>
</calcChain>
</file>

<file path=xl/sharedStrings.xml><?xml version="1.0" encoding="utf-8"?>
<sst xmlns="http://schemas.openxmlformats.org/spreadsheetml/2006/main" count="169" uniqueCount="117">
  <si>
    <t>Product ID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</si>
  <si>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</si>
  <si>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</si>
  <si>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</si>
  <si>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</si>
  <si>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</si>
  <si>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</si>
  <si>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</si>
  <si>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</si>
  <si>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</si>
  <si>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</si>
  <si>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</si>
  <si>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</si>
  <si>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</si>
  <si>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</si>
  <si>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</si>
  <si>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</si>
  <si>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</si>
  <si>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</si>
  <si>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</si>
  <si>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</si>
  <si>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</si>
  <si>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</si>
  <si>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</si>
  <si>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</si>
  <si>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</si>
  <si>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</si>
  <si>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</si>
  <si>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</si>
  <si>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</si>
  <si>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</si>
  <si>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</si>
  <si>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</si>
  <si>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</si>
  <si>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</si>
  <si>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</si>
  <si>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</si>
  <si>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</si>
  <si>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</si>
  <si>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</si>
  <si>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</si>
  <si>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</si>
  <si>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</si>
  <si>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</si>
  <si>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</si>
  <si>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</si>
  <si>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</si>
  <si>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</si>
  <si>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</si>
  <si>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</si>
  <si>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</si>
  <si>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</si>
  <si>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</si>
  <si>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</si>
  <si>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</si>
  <si>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</si>
  <si>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</si>
  <si>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</si>
  <si>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</si>
  <si>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</si>
  <si>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</si>
  <si>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</si>
  <si>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</si>
  <si>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</si>
  <si>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</si>
  <si>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</si>
  <si>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</si>
  <si>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</si>
  <si>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</si>
  <si>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</si>
  <si>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</si>
  <si>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</si>
  <si>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</si>
  <si>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</si>
  <si>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</si>
  <si>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</si>
  <si>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</si>
  <si>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</si>
  <si>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</si>
  <si>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</si>
  <si>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</si>
  <si>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</si>
  <si>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</si>
  <si>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</si>
  <si>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</si>
  <si>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</si>
  <si>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</si>
  <si>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</si>
  <si>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</si>
  <si>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</si>
  <si>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</si>
  <si>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</si>
  <si>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1) Sum, Count, Average:</t>
  </si>
  <si>
    <t>• What is the total price of all products in the dataset?</t>
  </si>
  <si>
    <t>• Calculate the average price of the products.</t>
  </si>
  <si>
    <t>ANS:</t>
  </si>
  <si>
    <t>•  How many products are there in the dataset?</t>
  </si>
  <si>
    <t>2) Min and Max:</t>
  </si>
  <si>
    <t>• Determine the minimum price among all products.</t>
  </si>
  <si>
    <t>• Find the maximum price among all products.</t>
  </si>
  <si>
    <t>MINIMUM PRICE ==MIN(</t>
  </si>
  <si>
    <t xml:space="preserve">MAXIMUM PRICE </t>
  </si>
  <si>
    <t>3) IF Function:</t>
  </si>
  <si>
    <t>• Using an IF function, create a new column named Price Range to categorize products with a price greater than or equal to $500 as 'High Price' and others as 'Standard Price'.</t>
  </si>
  <si>
    <t>Price Range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</si>
  <si>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</si>
  <si>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</si>
  <si>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</si>
  <si>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 xml:space="preserve">Total price of Electronics= 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</si>
  <si>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</si>
  <si>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</si>
  <si>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</si>
  <si>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</si>
  <si>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Day</t>
  </si>
  <si>
    <t>Country code</t>
  </si>
  <si>
    <t>Month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</si>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</sst>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4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right" wrapText="1"/>
    </xf>
    <xf numFmtId="0" fontId="5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3" fillId="2" borderId="0" xfId="0" applyFont="1" applyFill="1" applyAlignment="1">
      <alignment horizontal="center" wrapText="1"/>
    </xf>
    <xf numFmtId="0" fontId="7" fillId="0" borderId="0" xfId="0" applyFont="1"/>
    <xf numFmtId="0" fontId="2" fillId="4" borderId="0" xfId="0" applyFont="1" applyFill="1"/>
    <xf numFmtId="0" fontId="4" fillId="0" borderId="2" xfId="0" applyFont="1" applyBorder="1" applyAlignment="1">
      <alignment wrapText="1"/>
    </xf>
    <xf numFmtId="0" fontId="4" fillId="3" borderId="2" xfId="0" applyFont="1" applyFill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3" borderId="3" xfId="0" applyFont="1" applyFill="1" applyBorder="1" applyAlignment="1">
      <alignment wrapText="1"/>
    </xf>
    <xf numFmtId="0" fontId="3" fillId="2" borderId="4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4" fillId="3" borderId="7" xfId="0" applyFont="1" applyFill="1" applyBorder="1" applyAlignment="1">
      <alignment wrapText="1"/>
    </xf>
    <xf numFmtId="0" fontId="4" fillId="3" borderId="8" xfId="0" applyFont="1" applyFill="1" applyBorder="1" applyAlignment="1">
      <alignment wrapText="1"/>
    </xf>
    <xf numFmtId="0" fontId="4" fillId="3" borderId="8" xfId="0" applyFont="1" applyFill="1" applyBorder="1" applyAlignment="1">
      <alignment horizontal="right" wrapText="1"/>
    </xf>
    <xf numFmtId="0" fontId="4" fillId="3" borderId="9" xfId="0" applyFont="1" applyFill="1" applyBorder="1" applyAlignment="1">
      <alignment wrapText="1"/>
    </xf>
    <xf numFmtId="0" fontId="8" fillId="4" borderId="0" xfId="0" applyFont="1" applyFill="1"/>
    <xf numFmtId="0" fontId="1" fillId="4" borderId="0" xfId="0" applyFont="1" applyFill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4DD0E1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border outline="0">
        <left style="medium">
          <color rgb="FFCCCCCC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4DD0E1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00791A-7AAC-418A-8300-56680FB07AEC}" name="Table1" displayName="Table1" ref="G1:J35" totalsRowShown="0" headerRowDxfId="14" dataDxfId="13" tableBorderDxfId="12">
  <autoFilter ref="G1:J35" xr:uid="{C400791A-7AAC-418A-8300-56680FB07AEC}"/>
  <tableColumns count="4">
    <tableColumn id="1" xr3:uid="{1161DB47-BEE4-4E11-9C79-9D3000C6326B}" name="Price Range" dataDxfId="11">
      <calculatedColumnFormula>IF(D2:D35&gt;=500,"High Price","Standerd Price")</calculatedColumnFormula>
    </tableColumn>
    <tableColumn id="2" xr3:uid="{443D3B51-270D-4742-8CB5-7228D180C6D0}" name="Day" dataDxfId="10">
      <calculatedColumnFormula>LEFT(A2,2)</calculatedColumnFormula>
    </tableColumn>
    <tableColumn id="3" xr3:uid="{8F4599D5-61A9-4E6E-96D2-D97ACAAE2A31}" name="Country code" dataDxfId="9">
      <calculatedColumnFormula>RIGHT(A2,2)</calculatedColumnFormula>
    </tableColumn>
    <tableColumn id="4" xr3:uid="{38239E52-00EB-4255-B712-89CA32C6D56B}" name="Month">
      <calculatedColumnFormula>MID(A2,4,6)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BB88BF-A4B7-4D1B-9D85-584C62D3B2D2}" name="Table2" displayName="Table2" ref="B1:F35" totalsRowShown="0" headerRowDxfId="8" headerRowBorderDxfId="7" tableBorderDxfId="6" totalsRowBorderDxfId="5">
  <autoFilter ref="B1:F35" xr:uid="{05BB88BF-A4B7-4D1B-9D85-584C62D3B2D2}"/>
  <tableColumns count="5">
    <tableColumn id="1" xr3:uid="{512C3984-544B-42F6-BDAE-2C485FE06A0C}" name="Column1" dataDxfId="4"/>
    <tableColumn id="2" xr3:uid="{0CAE175A-1062-4F27-A7BE-3E1CCEA0F1AA}" name="Brand Name" dataDxfId="3"/>
    <tableColumn id="3" xr3:uid="{54F397B1-2608-46D5-AA1F-222BE72E53C1}" name="Price ($)" dataDxfId="2"/>
    <tableColumn id="4" xr3:uid="{6314C965-5339-4C31-A69C-EAFBDD7086F6}" name="Quantity" dataDxfId="1"/>
    <tableColumn id="5" xr3:uid="{2CBB9A30-87FB-4BDA-A070-1CDAB031797E}" name="Catego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3DF1E-3672-44D4-B905-D354CAE9DF4C}">
  <dimension ref="A1:X41"/>
  <sheetViews>
    <sheetView tabSelected="1" topLeftCell="C1" workbookViewId="0">
      <selection activeCell="G5" sqref="G5"/>
    </sheetView>
  </sheetViews>
  <sheetFormatPr defaultRowHeight="15" x14ac:dyDescent="0.25"/>
  <cols>
    <col min="1" max="1" width="11.5703125" customWidth="1"/>
    <col min="2" max="2" width="16" customWidth="1"/>
    <col min="3" max="3" width="14.42578125" customWidth="1"/>
    <col min="4" max="4" width="13.42578125" customWidth="1"/>
    <col min="5" max="5" width="14.28515625" customWidth="1"/>
    <col min="6" max="6" width="13" customWidth="1"/>
    <col min="7" max="7" width="14.85546875" customWidth="1"/>
    <col min="8" max="8" width="9.28515625" customWidth="1"/>
    <col min="9" max="9" width="11.5703125" customWidth="1"/>
    <col min="10" max="10" width="13" customWidth="1"/>
    <col min="11" max="11" width="2.42578125" customWidth="1"/>
    <col min="12" max="12" width="6.140625" customWidth="1"/>
    <col min="13" max="14" width="9.140625" customWidth="1"/>
  </cols>
  <sheetData>
    <row r="1" spans="1:16" ht="15.75" thickBot="1" x14ac:dyDescent="0.3">
      <c r="A1" s="1" t="s">
        <v>0</v>
      </c>
      <c r="B1" s="16" t="s">
        <v>116</v>
      </c>
      <c r="C1" s="17" t="s">
        <v>1</v>
      </c>
      <c r="D1" s="17" t="s">
        <v>2</v>
      </c>
      <c r="E1" s="17" t="s">
        <v>3</v>
      </c>
      <c r="F1" s="18" t="s">
        <v>4</v>
      </c>
      <c r="G1" s="9" t="s">
        <v>104</v>
      </c>
      <c r="H1" s="9" t="s">
        <v>113</v>
      </c>
      <c r="I1" s="9" t="s">
        <v>114</v>
      </c>
      <c r="J1" s="9" t="s">
        <v>115</v>
      </c>
      <c r="K1" s="9"/>
    </row>
    <row r="2" spans="1:16" ht="16.5" thickBot="1" x14ac:dyDescent="0.3">
      <c r="A2" s="2" t="s">
        <v>5</v>
      </c>
      <c r="B2" s="14" t="s">
        <v>6</v>
      </c>
      <c r="C2" s="2" t="s">
        <v>7</v>
      </c>
      <c r="D2" s="3">
        <v>1000</v>
      </c>
      <c r="E2" s="3">
        <v>30</v>
      </c>
      <c r="F2" s="12" t="s">
        <v>8</v>
      </c>
      <c r="G2" s="7" t="str">
        <f>IF(D2:D35&gt;=500,"High Price","Standerd Price")</f>
        <v>High Price</v>
      </c>
      <c r="H2" s="7" t="str">
        <f>LEFT(A2,2)</f>
        <v>28</v>
      </c>
      <c r="I2" s="7" t="str">
        <f>RIGHT(A2,2)</f>
        <v>US</v>
      </c>
      <c r="J2" t="str">
        <f>MID(A2,4,6)</f>
        <v>JAN-US</v>
      </c>
      <c r="M2" s="6" t="s">
        <v>92</v>
      </c>
      <c r="N2" s="7"/>
      <c r="O2" s="7"/>
      <c r="P2" s="7"/>
    </row>
    <row r="3" spans="1:16" ht="16.5" thickBot="1" x14ac:dyDescent="0.3">
      <c r="A3" s="4" t="s">
        <v>9</v>
      </c>
      <c r="B3" s="15" t="s">
        <v>10</v>
      </c>
      <c r="C3" s="4" t="s">
        <v>11</v>
      </c>
      <c r="D3" s="5">
        <v>80</v>
      </c>
      <c r="E3" s="5">
        <v>15</v>
      </c>
      <c r="F3" s="13" t="s">
        <v>12</v>
      </c>
      <c r="G3" s="7" t="str">
        <f t="shared" ref="G3:G35" si="0">IF(D3:D36&gt;=500,"High Price","Standerd Price")</f>
        <v>Standerd Price</v>
      </c>
      <c r="H3" s="7" t="str">
        <f t="shared" ref="H3:H35" si="1">LEFT(A3,2)</f>
        <v>15</v>
      </c>
      <c r="I3" s="7" t="str">
        <f t="shared" ref="I3:I35" si="2">RIGHT(A3,2)</f>
        <v>US</v>
      </c>
      <c r="J3" t="str">
        <f t="shared" ref="J3:J35" si="3">MID(A3,4,6)</f>
        <v>FEB-US</v>
      </c>
      <c r="M3" s="7"/>
      <c r="N3" s="8"/>
      <c r="O3" s="7"/>
      <c r="P3" s="7"/>
    </row>
    <row r="4" spans="1:16" ht="15.75" thickBot="1" x14ac:dyDescent="0.3">
      <c r="A4" s="2" t="s">
        <v>13</v>
      </c>
      <c r="B4" s="14" t="s">
        <v>14</v>
      </c>
      <c r="C4" s="2" t="s">
        <v>15</v>
      </c>
      <c r="D4" s="3">
        <v>130</v>
      </c>
      <c r="E4" s="3">
        <v>40</v>
      </c>
      <c r="F4" s="12" t="s">
        <v>16</v>
      </c>
      <c r="G4" s="7" t="str">
        <f t="shared" si="0"/>
        <v>Standerd Price</v>
      </c>
      <c r="H4" s="7" t="str">
        <f t="shared" si="1"/>
        <v>03</v>
      </c>
      <c r="I4" s="7" t="str">
        <f t="shared" si="2"/>
        <v>US</v>
      </c>
      <c r="J4" t="str">
        <f t="shared" si="3"/>
        <v>MAR-US</v>
      </c>
    </row>
    <row r="5" spans="1:16" ht="16.5" thickBot="1" x14ac:dyDescent="0.3">
      <c r="A5" s="4" t="s">
        <v>17</v>
      </c>
      <c r="B5" s="15" t="s">
        <v>18</v>
      </c>
      <c r="C5" s="4" t="s">
        <v>19</v>
      </c>
      <c r="D5" s="5">
        <v>900</v>
      </c>
      <c r="E5" s="5">
        <v>25</v>
      </c>
      <c r="F5" s="13" t="s">
        <v>8</v>
      </c>
      <c r="G5" s="7" t="str">
        <f t="shared" si="0"/>
        <v>High Price</v>
      </c>
      <c r="H5" s="7" t="str">
        <f t="shared" si="1"/>
        <v>11</v>
      </c>
      <c r="I5" s="7" t="str">
        <f t="shared" si="2"/>
        <v>US</v>
      </c>
      <c r="J5" t="str">
        <f t="shared" si="3"/>
        <v>APR-US</v>
      </c>
      <c r="L5" s="23" t="s">
        <v>95</v>
      </c>
      <c r="M5" s="7"/>
      <c r="N5" s="8" t="s">
        <v>93</v>
      </c>
      <c r="O5" s="7"/>
      <c r="P5" s="7"/>
    </row>
    <row r="6" spans="1:16" ht="15.75" thickBot="1" x14ac:dyDescent="0.3">
      <c r="A6" s="2" t="s">
        <v>20</v>
      </c>
      <c r="B6" s="14" t="s">
        <v>21</v>
      </c>
      <c r="C6" s="2" t="s">
        <v>22</v>
      </c>
      <c r="D6" s="3">
        <v>70</v>
      </c>
      <c r="E6" s="3">
        <v>20</v>
      </c>
      <c r="F6" s="12" t="s">
        <v>23</v>
      </c>
      <c r="G6" s="7" t="str">
        <f t="shared" si="0"/>
        <v>Standerd Price</v>
      </c>
      <c r="H6" s="7" t="str">
        <f t="shared" si="1"/>
        <v>22</v>
      </c>
      <c r="I6" s="7" t="str">
        <f t="shared" si="2"/>
        <v>US</v>
      </c>
      <c r="J6" t="str">
        <f t="shared" si="3"/>
        <v>MAY-US</v>
      </c>
      <c r="O6" s="11">
        <v>10100</v>
      </c>
    </row>
    <row r="7" spans="1:16" ht="16.5" thickBot="1" x14ac:dyDescent="0.3">
      <c r="A7" s="4" t="s">
        <v>24</v>
      </c>
      <c r="B7" s="15" t="s">
        <v>25</v>
      </c>
      <c r="C7" s="4" t="s">
        <v>26</v>
      </c>
      <c r="D7" s="5">
        <v>200</v>
      </c>
      <c r="E7" s="5">
        <v>45</v>
      </c>
      <c r="F7" s="13" t="s">
        <v>8</v>
      </c>
      <c r="G7" s="7" t="str">
        <f t="shared" si="0"/>
        <v>Standerd Price</v>
      </c>
      <c r="H7" s="7" t="str">
        <f t="shared" si="1"/>
        <v>07</v>
      </c>
      <c r="I7" s="7" t="str">
        <f t="shared" si="2"/>
        <v>UK</v>
      </c>
      <c r="J7" t="str">
        <f t="shared" si="3"/>
        <v>JUN-UK</v>
      </c>
      <c r="N7" s="8" t="s">
        <v>96</v>
      </c>
      <c r="O7" s="7"/>
      <c r="P7" s="7"/>
    </row>
    <row r="8" spans="1:16" ht="15.75" thickBot="1" x14ac:dyDescent="0.3">
      <c r="A8" s="2" t="s">
        <v>27</v>
      </c>
      <c r="B8" s="14" t="s">
        <v>28</v>
      </c>
      <c r="C8" s="2" t="s">
        <v>29</v>
      </c>
      <c r="D8" s="3">
        <v>30</v>
      </c>
      <c r="E8" s="3">
        <v>5</v>
      </c>
      <c r="F8" s="12" t="s">
        <v>12</v>
      </c>
      <c r="G8" s="7" t="str">
        <f t="shared" si="0"/>
        <v>Standerd Price</v>
      </c>
      <c r="H8" s="7" t="str">
        <f t="shared" si="1"/>
        <v>19</v>
      </c>
      <c r="I8" s="7" t="str">
        <f t="shared" si="2"/>
        <v>UK</v>
      </c>
      <c r="J8" t="str">
        <f t="shared" si="3"/>
        <v>JUL-UK</v>
      </c>
      <c r="O8" s="11">
        <v>34</v>
      </c>
    </row>
    <row r="9" spans="1:16" ht="16.5" thickBot="1" x14ac:dyDescent="0.3">
      <c r="A9" s="4" t="s">
        <v>30</v>
      </c>
      <c r="B9" s="15" t="s">
        <v>31</v>
      </c>
      <c r="C9" s="4" t="s">
        <v>32</v>
      </c>
      <c r="D9" s="5">
        <v>90</v>
      </c>
      <c r="E9" s="5">
        <v>35</v>
      </c>
      <c r="F9" s="13" t="s">
        <v>16</v>
      </c>
      <c r="G9" s="7" t="str">
        <f t="shared" si="0"/>
        <v>Standerd Price</v>
      </c>
      <c r="H9" s="7" t="str">
        <f t="shared" si="1"/>
        <v>23</v>
      </c>
      <c r="I9" s="7" t="str">
        <f t="shared" si="2"/>
        <v>UK</v>
      </c>
      <c r="J9" t="str">
        <f t="shared" si="3"/>
        <v>AUG-UK</v>
      </c>
      <c r="N9" s="8" t="s">
        <v>94</v>
      </c>
      <c r="O9" s="7"/>
      <c r="P9" s="7"/>
    </row>
    <row r="10" spans="1:16" ht="15.75" thickBot="1" x14ac:dyDescent="0.3">
      <c r="A10" s="2" t="s">
        <v>33</v>
      </c>
      <c r="B10" s="14" t="s">
        <v>34</v>
      </c>
      <c r="C10" s="2" t="s">
        <v>35</v>
      </c>
      <c r="D10" s="3">
        <v>500</v>
      </c>
      <c r="E10" s="3">
        <v>50</v>
      </c>
      <c r="F10" s="12" t="s">
        <v>8</v>
      </c>
      <c r="G10" s="7" t="str">
        <f t="shared" si="0"/>
        <v>High Price</v>
      </c>
      <c r="H10" s="7" t="str">
        <f t="shared" si="1"/>
        <v>05</v>
      </c>
      <c r="I10" s="7" t="str">
        <f t="shared" si="2"/>
        <v>UK</v>
      </c>
      <c r="J10" t="str">
        <f t="shared" si="3"/>
        <v>SEP-UK</v>
      </c>
      <c r="O10" s="11">
        <f>AVERAGE(D2:D35,)</f>
        <v>288.57142857142856</v>
      </c>
    </row>
    <row r="11" spans="1:16" ht="15.75" thickBot="1" x14ac:dyDescent="0.3">
      <c r="A11" s="4" t="s">
        <v>36</v>
      </c>
      <c r="B11" s="15" t="s">
        <v>37</v>
      </c>
      <c r="C11" s="4" t="s">
        <v>38</v>
      </c>
      <c r="D11" s="5">
        <v>130</v>
      </c>
      <c r="E11" s="5">
        <v>10</v>
      </c>
      <c r="F11" s="13" t="s">
        <v>23</v>
      </c>
      <c r="G11" s="7" t="str">
        <f t="shared" si="0"/>
        <v>Standerd Price</v>
      </c>
      <c r="H11" s="7" t="str">
        <f t="shared" si="1"/>
        <v>14</v>
      </c>
      <c r="I11" s="7" t="str">
        <f t="shared" si="2"/>
        <v>UK</v>
      </c>
      <c r="J11" t="str">
        <f t="shared" si="3"/>
        <v>OCT-UK</v>
      </c>
    </row>
    <row r="12" spans="1:16" ht="15.75" thickBot="1" x14ac:dyDescent="0.3">
      <c r="A12" s="2" t="s">
        <v>39</v>
      </c>
      <c r="B12" s="14" t="s">
        <v>6</v>
      </c>
      <c r="C12" s="2" t="s">
        <v>40</v>
      </c>
      <c r="D12" s="3">
        <v>950</v>
      </c>
      <c r="E12" s="3">
        <v>25</v>
      </c>
      <c r="F12" s="12" t="s">
        <v>8</v>
      </c>
      <c r="G12" s="7" t="str">
        <f t="shared" si="0"/>
        <v>High Price</v>
      </c>
      <c r="H12" s="7" t="str">
        <f t="shared" si="1"/>
        <v>17</v>
      </c>
      <c r="I12" s="7" t="str">
        <f t="shared" si="2"/>
        <v>IN</v>
      </c>
      <c r="J12" t="str">
        <f t="shared" si="3"/>
        <v>JUN-IN</v>
      </c>
    </row>
    <row r="13" spans="1:16" ht="15.75" thickBot="1" x14ac:dyDescent="0.3">
      <c r="A13" s="4" t="s">
        <v>41</v>
      </c>
      <c r="B13" s="15" t="s">
        <v>10</v>
      </c>
      <c r="C13" s="4" t="s">
        <v>29</v>
      </c>
      <c r="D13" s="5">
        <v>90</v>
      </c>
      <c r="E13" s="5">
        <v>40</v>
      </c>
      <c r="F13" s="13" t="s">
        <v>12</v>
      </c>
      <c r="G13" s="7" t="str">
        <f t="shared" si="0"/>
        <v>Standerd Price</v>
      </c>
      <c r="H13" s="7" t="str">
        <f t="shared" si="1"/>
        <v>25</v>
      </c>
      <c r="I13" s="7" t="str">
        <f t="shared" si="2"/>
        <v>AU</v>
      </c>
      <c r="J13" t="str">
        <f t="shared" si="3"/>
        <v>NOV-AU</v>
      </c>
    </row>
    <row r="14" spans="1:16" ht="15.75" thickBot="1" x14ac:dyDescent="0.3">
      <c r="A14" s="2" t="s">
        <v>42</v>
      </c>
      <c r="B14" s="14" t="s">
        <v>14</v>
      </c>
      <c r="C14" s="2" t="s">
        <v>43</v>
      </c>
      <c r="D14" s="3">
        <v>120</v>
      </c>
      <c r="E14" s="3">
        <v>35</v>
      </c>
      <c r="F14" s="12" t="s">
        <v>16</v>
      </c>
      <c r="G14" s="7" t="str">
        <f t="shared" si="0"/>
        <v>Standerd Price</v>
      </c>
      <c r="H14" s="7" t="str">
        <f t="shared" si="1"/>
        <v>08</v>
      </c>
      <c r="I14" s="7" t="str">
        <f t="shared" si="2"/>
        <v>DE</v>
      </c>
      <c r="J14" t="str">
        <f t="shared" si="3"/>
        <v>DEC-DE</v>
      </c>
    </row>
    <row r="15" spans="1:16" ht="16.5" thickBot="1" x14ac:dyDescent="0.3">
      <c r="A15" s="4" t="s">
        <v>44</v>
      </c>
      <c r="B15" s="15" t="s">
        <v>45</v>
      </c>
      <c r="C15" s="4" t="s">
        <v>46</v>
      </c>
      <c r="D15" s="5">
        <v>150</v>
      </c>
      <c r="E15" s="5">
        <v>15</v>
      </c>
      <c r="F15" s="13" t="s">
        <v>8</v>
      </c>
      <c r="G15" s="7" t="str">
        <f t="shared" si="0"/>
        <v>Standerd Price</v>
      </c>
      <c r="H15" s="7" t="str">
        <f t="shared" si="1"/>
        <v>18</v>
      </c>
      <c r="I15" s="7" t="str">
        <f t="shared" si="2"/>
        <v>CA</v>
      </c>
      <c r="J15" t="str">
        <f t="shared" si="3"/>
        <v>FEB-CA</v>
      </c>
      <c r="M15" s="6" t="s">
        <v>97</v>
      </c>
      <c r="N15" s="7"/>
      <c r="O15" s="7"/>
      <c r="P15" s="7"/>
    </row>
    <row r="16" spans="1:16" ht="16.5" thickBot="1" x14ac:dyDescent="0.3">
      <c r="A16" s="2" t="s">
        <v>47</v>
      </c>
      <c r="B16" s="14" t="s">
        <v>25</v>
      </c>
      <c r="C16" s="2" t="s">
        <v>48</v>
      </c>
      <c r="D16" s="3">
        <v>250</v>
      </c>
      <c r="E16" s="3">
        <v>20</v>
      </c>
      <c r="F16" s="12" t="s">
        <v>8</v>
      </c>
      <c r="G16" s="7" t="str">
        <f t="shared" si="0"/>
        <v>Standerd Price</v>
      </c>
      <c r="H16" s="7" t="str">
        <f t="shared" si="1"/>
        <v>16</v>
      </c>
      <c r="I16" s="7" t="str">
        <f t="shared" si="2"/>
        <v>ES</v>
      </c>
      <c r="J16" t="str">
        <f t="shared" si="3"/>
        <v>APR-ES</v>
      </c>
      <c r="M16" s="7"/>
      <c r="N16" s="8"/>
      <c r="O16" s="7"/>
      <c r="P16" s="7"/>
    </row>
    <row r="17" spans="1:24" ht="16.5" thickBot="1" x14ac:dyDescent="0.3">
      <c r="A17" s="4" t="s">
        <v>49</v>
      </c>
      <c r="B17" s="15" t="s">
        <v>50</v>
      </c>
      <c r="C17" s="4" t="s">
        <v>51</v>
      </c>
      <c r="D17" s="5">
        <v>50</v>
      </c>
      <c r="E17" s="5">
        <v>35</v>
      </c>
      <c r="F17" s="13" t="s">
        <v>52</v>
      </c>
      <c r="G17" s="7" t="str">
        <f t="shared" si="0"/>
        <v>Standerd Price</v>
      </c>
      <c r="H17" s="7" t="str">
        <f t="shared" si="1"/>
        <v>21</v>
      </c>
      <c r="I17" s="7" t="str">
        <f t="shared" si="2"/>
        <v>CA</v>
      </c>
      <c r="J17" t="str">
        <f t="shared" si="3"/>
        <v>AUG-CA</v>
      </c>
      <c r="M17" s="7"/>
      <c r="N17" s="8"/>
      <c r="O17" s="7"/>
      <c r="P17" s="7"/>
    </row>
    <row r="18" spans="1:24" ht="15.75" thickBot="1" x14ac:dyDescent="0.3">
      <c r="A18" s="2" t="s">
        <v>53</v>
      </c>
      <c r="B18" s="14" t="s">
        <v>45</v>
      </c>
      <c r="C18" s="2" t="s">
        <v>54</v>
      </c>
      <c r="D18" s="3">
        <v>160</v>
      </c>
      <c r="E18" s="3">
        <v>15</v>
      </c>
      <c r="F18" s="12" t="s">
        <v>8</v>
      </c>
      <c r="G18" s="7" t="str">
        <f t="shared" si="0"/>
        <v>Standerd Price</v>
      </c>
      <c r="H18" s="7" t="str">
        <f t="shared" si="1"/>
        <v>20</v>
      </c>
      <c r="I18" s="7" t="str">
        <f t="shared" si="2"/>
        <v>CN</v>
      </c>
      <c r="J18" t="str">
        <f t="shared" si="3"/>
        <v>AUG-CN</v>
      </c>
      <c r="M18" s="7"/>
      <c r="N18" s="7"/>
      <c r="O18" s="7"/>
      <c r="P18" s="7"/>
    </row>
    <row r="19" spans="1:24" ht="16.5" thickBot="1" x14ac:dyDescent="0.3">
      <c r="A19" s="4" t="s">
        <v>55</v>
      </c>
      <c r="B19" s="15" t="s">
        <v>6</v>
      </c>
      <c r="C19" s="4" t="s">
        <v>56</v>
      </c>
      <c r="D19" s="5">
        <v>980</v>
      </c>
      <c r="E19" s="5">
        <v>10</v>
      </c>
      <c r="F19" s="13" t="s">
        <v>8</v>
      </c>
      <c r="G19" s="7" t="str">
        <f t="shared" si="0"/>
        <v>High Price</v>
      </c>
      <c r="H19" s="7" t="str">
        <f t="shared" si="1"/>
        <v>27</v>
      </c>
      <c r="I19" s="7" t="str">
        <f t="shared" si="2"/>
        <v>IT</v>
      </c>
      <c r="J19" t="str">
        <f t="shared" si="3"/>
        <v>JAN-IT</v>
      </c>
      <c r="L19" s="24" t="s">
        <v>95</v>
      </c>
      <c r="M19" s="7"/>
      <c r="N19" s="8" t="s">
        <v>98</v>
      </c>
      <c r="O19" s="7"/>
      <c r="P19" s="7"/>
    </row>
    <row r="20" spans="1:24" ht="16.5" thickBot="1" x14ac:dyDescent="0.3">
      <c r="A20" s="2" t="s">
        <v>57</v>
      </c>
      <c r="B20" s="14" t="s">
        <v>58</v>
      </c>
      <c r="C20" s="2" t="s">
        <v>59</v>
      </c>
      <c r="D20" s="3">
        <v>150</v>
      </c>
      <c r="E20" s="3">
        <v>15</v>
      </c>
      <c r="F20" s="12" t="s">
        <v>12</v>
      </c>
      <c r="G20" s="7" t="str">
        <f t="shared" si="0"/>
        <v>Standerd Price</v>
      </c>
      <c r="H20" s="7" t="str">
        <f t="shared" si="1"/>
        <v>01</v>
      </c>
      <c r="I20" s="7" t="str">
        <f t="shared" si="2"/>
        <v>UK</v>
      </c>
      <c r="J20" t="str">
        <f t="shared" si="3"/>
        <v>MAR-UK</v>
      </c>
      <c r="N20" s="8" t="s">
        <v>100</v>
      </c>
      <c r="P20" s="11">
        <f>MIN(D2:D35)</f>
        <v>30</v>
      </c>
    </row>
    <row r="21" spans="1:24" ht="15.75" thickBot="1" x14ac:dyDescent="0.3">
      <c r="A21" s="4" t="s">
        <v>60</v>
      </c>
      <c r="B21" s="15" t="s">
        <v>61</v>
      </c>
      <c r="C21" s="4" t="s">
        <v>62</v>
      </c>
      <c r="D21" s="5">
        <v>200</v>
      </c>
      <c r="E21" s="5">
        <v>10</v>
      </c>
      <c r="F21" s="13" t="s">
        <v>23</v>
      </c>
      <c r="G21" s="7" t="str">
        <f t="shared" si="0"/>
        <v>Standerd Price</v>
      </c>
      <c r="H21" s="7" t="str">
        <f t="shared" si="1"/>
        <v>14</v>
      </c>
      <c r="I21" s="7" t="str">
        <f t="shared" si="2"/>
        <v>US</v>
      </c>
      <c r="J21" t="str">
        <f t="shared" si="3"/>
        <v>AUG-US</v>
      </c>
    </row>
    <row r="22" spans="1:24" ht="16.5" thickBot="1" x14ac:dyDescent="0.3">
      <c r="A22" s="2" t="s">
        <v>63</v>
      </c>
      <c r="B22" s="14" t="s">
        <v>64</v>
      </c>
      <c r="C22" s="2" t="s">
        <v>65</v>
      </c>
      <c r="D22" s="3">
        <v>700</v>
      </c>
      <c r="E22" s="3">
        <v>50</v>
      </c>
      <c r="F22" s="12" t="s">
        <v>8</v>
      </c>
      <c r="G22" s="7" t="str">
        <f t="shared" si="0"/>
        <v>High Price</v>
      </c>
      <c r="H22" s="7" t="str">
        <f t="shared" si="1"/>
        <v>14</v>
      </c>
      <c r="I22" s="7" t="str">
        <f t="shared" si="2"/>
        <v>RU</v>
      </c>
      <c r="J22" t="str">
        <f t="shared" si="3"/>
        <v>MAY-RU</v>
      </c>
      <c r="N22" s="8" t="s">
        <v>99</v>
      </c>
      <c r="O22" s="7"/>
      <c r="P22" s="7"/>
    </row>
    <row r="23" spans="1:24" ht="16.5" thickBot="1" x14ac:dyDescent="0.3">
      <c r="A23" s="4" t="s">
        <v>66</v>
      </c>
      <c r="B23" s="15" t="s">
        <v>67</v>
      </c>
      <c r="C23" s="4" t="s">
        <v>68</v>
      </c>
      <c r="D23" s="5">
        <v>80</v>
      </c>
      <c r="E23" s="5">
        <v>20</v>
      </c>
      <c r="F23" s="13" t="s">
        <v>16</v>
      </c>
      <c r="G23" s="7" t="str">
        <f t="shared" si="0"/>
        <v>Standerd Price</v>
      </c>
      <c r="H23" s="7" t="str">
        <f t="shared" si="1"/>
        <v>09</v>
      </c>
      <c r="I23" s="7" t="str">
        <f t="shared" si="2"/>
        <v>CA</v>
      </c>
      <c r="J23" t="str">
        <f t="shared" si="3"/>
        <v>JAN-CA</v>
      </c>
      <c r="N23" s="8" t="s">
        <v>101</v>
      </c>
      <c r="P23" s="11">
        <f>MAX(D2:D35)</f>
        <v>1000</v>
      </c>
    </row>
    <row r="24" spans="1:24" ht="15.75" thickBot="1" x14ac:dyDescent="0.3">
      <c r="A24" s="2" t="s">
        <v>69</v>
      </c>
      <c r="B24" s="14" t="s">
        <v>70</v>
      </c>
      <c r="C24" s="2" t="s">
        <v>71</v>
      </c>
      <c r="D24" s="3">
        <v>150</v>
      </c>
      <c r="E24" s="3">
        <v>30</v>
      </c>
      <c r="F24" s="12" t="s">
        <v>8</v>
      </c>
      <c r="G24" s="7" t="str">
        <f t="shared" si="0"/>
        <v>Standerd Price</v>
      </c>
      <c r="H24" s="7" t="str">
        <f t="shared" si="1"/>
        <v>19</v>
      </c>
      <c r="I24" s="7" t="str">
        <f t="shared" si="2"/>
        <v>BR</v>
      </c>
      <c r="J24" t="str">
        <f t="shared" si="3"/>
        <v>JUL-BR</v>
      </c>
    </row>
    <row r="25" spans="1:24" ht="16.5" thickBot="1" x14ac:dyDescent="0.3">
      <c r="A25" s="4" t="s">
        <v>49</v>
      </c>
      <c r="B25" s="15" t="s">
        <v>50</v>
      </c>
      <c r="C25" s="4" t="s">
        <v>51</v>
      </c>
      <c r="D25" s="5">
        <v>50</v>
      </c>
      <c r="E25" s="5">
        <v>35</v>
      </c>
      <c r="F25" s="13" t="s">
        <v>52</v>
      </c>
      <c r="G25" s="7" t="str">
        <f t="shared" si="0"/>
        <v>Standerd Price</v>
      </c>
      <c r="H25" s="7" t="str">
        <f t="shared" si="1"/>
        <v>21</v>
      </c>
      <c r="I25" s="7" t="str">
        <f t="shared" si="2"/>
        <v>CA</v>
      </c>
      <c r="J25" t="str">
        <f t="shared" si="3"/>
        <v>AUG-CA</v>
      </c>
      <c r="M25" s="6" t="s">
        <v>102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1:24" ht="16.5" thickBot="1" x14ac:dyDescent="0.3">
      <c r="A26" s="2" t="s">
        <v>72</v>
      </c>
      <c r="B26" s="14" t="s">
        <v>18</v>
      </c>
      <c r="C26" s="2" t="s">
        <v>73</v>
      </c>
      <c r="D26" s="3">
        <v>800</v>
      </c>
      <c r="E26" s="3">
        <v>45</v>
      </c>
      <c r="F26" s="12" t="s">
        <v>8</v>
      </c>
      <c r="G26" s="7" t="str">
        <f t="shared" si="0"/>
        <v>High Price</v>
      </c>
      <c r="H26" s="7" t="str">
        <f t="shared" si="1"/>
        <v>29</v>
      </c>
      <c r="I26" s="7" t="str">
        <f t="shared" si="2"/>
        <v>CA</v>
      </c>
      <c r="J26" t="str">
        <f t="shared" si="3"/>
        <v>SEP-CA</v>
      </c>
      <c r="M26" s="7"/>
      <c r="N26" s="8" t="s">
        <v>103</v>
      </c>
      <c r="O26" s="7"/>
      <c r="P26" s="7"/>
      <c r="Q26" s="7"/>
      <c r="R26" s="7"/>
      <c r="S26" s="7"/>
      <c r="T26" s="7"/>
      <c r="U26" s="7"/>
      <c r="V26" s="7"/>
      <c r="W26" s="7"/>
      <c r="X26" s="7"/>
    </row>
    <row r="27" spans="1:24" ht="16.5" thickBot="1" x14ac:dyDescent="0.3">
      <c r="A27" s="4" t="s">
        <v>74</v>
      </c>
      <c r="B27" s="15" t="s">
        <v>58</v>
      </c>
      <c r="C27" s="4" t="s">
        <v>75</v>
      </c>
      <c r="D27" s="5">
        <v>130</v>
      </c>
      <c r="E27" s="5">
        <v>25</v>
      </c>
      <c r="F27" s="13" t="s">
        <v>12</v>
      </c>
      <c r="G27" s="7" t="str">
        <f t="shared" si="0"/>
        <v>Standerd Price</v>
      </c>
      <c r="H27" s="7" t="str">
        <f t="shared" si="1"/>
        <v>03</v>
      </c>
      <c r="I27" s="7" t="str">
        <f t="shared" si="2"/>
        <v>CA</v>
      </c>
      <c r="J27" t="str">
        <f t="shared" si="3"/>
        <v>JUN-CA</v>
      </c>
      <c r="M27" s="6" t="s">
        <v>105</v>
      </c>
      <c r="N27" s="7"/>
      <c r="O27" s="7"/>
      <c r="P27" s="7"/>
      <c r="Q27" s="7"/>
      <c r="R27" s="7"/>
      <c r="S27" s="7"/>
      <c r="T27" s="7"/>
    </row>
    <row r="28" spans="1:24" ht="16.5" thickBot="1" x14ac:dyDescent="0.3">
      <c r="A28" s="2" t="s">
        <v>76</v>
      </c>
      <c r="B28" s="14" t="s">
        <v>31</v>
      </c>
      <c r="C28" s="2" t="s">
        <v>77</v>
      </c>
      <c r="D28" s="3">
        <v>400</v>
      </c>
      <c r="E28" s="3">
        <v>40</v>
      </c>
      <c r="F28" s="12" t="s">
        <v>16</v>
      </c>
      <c r="G28" s="7" t="str">
        <f t="shared" si="0"/>
        <v>Standerd Price</v>
      </c>
      <c r="H28" s="7" t="str">
        <f t="shared" si="1"/>
        <v>11</v>
      </c>
      <c r="I28" s="7" t="str">
        <f t="shared" si="2"/>
        <v>CA</v>
      </c>
      <c r="J28" t="str">
        <f t="shared" si="3"/>
        <v>JUL-CA</v>
      </c>
      <c r="M28" s="7"/>
      <c r="N28" s="8" t="s">
        <v>106</v>
      </c>
      <c r="O28" s="7"/>
      <c r="P28" s="7"/>
      <c r="Q28" s="7"/>
      <c r="R28" s="7"/>
      <c r="S28" s="7"/>
      <c r="T28" s="7"/>
    </row>
    <row r="29" spans="1:24" ht="16.5" thickBot="1" x14ac:dyDescent="0.3">
      <c r="A29" s="4" t="s">
        <v>47</v>
      </c>
      <c r="B29" s="15" t="s">
        <v>25</v>
      </c>
      <c r="C29" s="4" t="s">
        <v>48</v>
      </c>
      <c r="D29" s="5">
        <v>230</v>
      </c>
      <c r="E29" s="5">
        <v>20</v>
      </c>
      <c r="F29" s="13" t="s">
        <v>8</v>
      </c>
      <c r="G29" s="7" t="str">
        <f t="shared" si="0"/>
        <v>Standerd Price</v>
      </c>
      <c r="H29" s="7" t="str">
        <f t="shared" si="1"/>
        <v>16</v>
      </c>
      <c r="I29" s="7" t="str">
        <f t="shared" si="2"/>
        <v>ES</v>
      </c>
      <c r="J29" t="str">
        <f t="shared" si="3"/>
        <v>APR-ES</v>
      </c>
      <c r="M29" s="7"/>
      <c r="N29" s="8"/>
      <c r="O29" s="7"/>
      <c r="P29" s="7"/>
      <c r="Q29" s="7"/>
      <c r="R29" s="7"/>
      <c r="S29" s="7"/>
      <c r="T29" s="7"/>
    </row>
    <row r="30" spans="1:24" ht="15.75" thickBot="1" x14ac:dyDescent="0.3">
      <c r="A30" s="2" t="s">
        <v>78</v>
      </c>
      <c r="B30" s="14" t="s">
        <v>79</v>
      </c>
      <c r="C30" s="2" t="s">
        <v>80</v>
      </c>
      <c r="D30" s="3">
        <v>60</v>
      </c>
      <c r="E30" s="3">
        <v>30</v>
      </c>
      <c r="F30" s="12" t="s">
        <v>12</v>
      </c>
      <c r="G30" s="7" t="str">
        <f t="shared" si="0"/>
        <v>Standerd Price</v>
      </c>
      <c r="H30" s="7" t="str">
        <f t="shared" si="1"/>
        <v>07</v>
      </c>
      <c r="I30" s="7" t="str">
        <f t="shared" si="2"/>
        <v>CA</v>
      </c>
      <c r="J30" t="str">
        <f t="shared" si="3"/>
        <v>MAR-CA</v>
      </c>
    </row>
    <row r="31" spans="1:24" ht="16.5" thickBot="1" x14ac:dyDescent="0.3">
      <c r="A31" s="4" t="s">
        <v>81</v>
      </c>
      <c r="B31" s="15" t="s">
        <v>82</v>
      </c>
      <c r="C31" s="4" t="s">
        <v>83</v>
      </c>
      <c r="D31" s="5">
        <v>40</v>
      </c>
      <c r="E31" s="5">
        <v>10</v>
      </c>
      <c r="F31" s="13" t="s">
        <v>16</v>
      </c>
      <c r="G31" s="7" t="str">
        <f t="shared" si="0"/>
        <v>Standerd Price</v>
      </c>
      <c r="H31" s="7" t="str">
        <f t="shared" si="1"/>
        <v>13</v>
      </c>
      <c r="I31" s="7" t="str">
        <f t="shared" si="2"/>
        <v>CA</v>
      </c>
      <c r="J31" t="str">
        <f t="shared" si="3"/>
        <v>APR-CA</v>
      </c>
      <c r="L31" s="24" t="s">
        <v>95</v>
      </c>
      <c r="M31" s="10" t="s">
        <v>108</v>
      </c>
      <c r="N31" s="10"/>
      <c r="O31" s="10"/>
      <c r="P31" s="11">
        <f>SUMIF(F2:F35,"Electronics",D2:D35)</f>
        <v>8050</v>
      </c>
    </row>
    <row r="32" spans="1:24" ht="15.75" thickBot="1" x14ac:dyDescent="0.3">
      <c r="A32" s="2" t="s">
        <v>84</v>
      </c>
      <c r="B32" s="14" t="s">
        <v>70</v>
      </c>
      <c r="C32" s="2" t="s">
        <v>85</v>
      </c>
      <c r="D32" s="3">
        <v>130</v>
      </c>
      <c r="E32" s="3">
        <v>5</v>
      </c>
      <c r="F32" s="12" t="s">
        <v>8</v>
      </c>
      <c r="G32" s="7" t="str">
        <f t="shared" si="0"/>
        <v>Standerd Price</v>
      </c>
      <c r="H32" s="7" t="str">
        <f t="shared" si="1"/>
        <v>24</v>
      </c>
      <c r="I32" s="7" t="str">
        <f t="shared" si="2"/>
        <v>CA</v>
      </c>
      <c r="J32" t="str">
        <f t="shared" si="3"/>
        <v>MAY-CA</v>
      </c>
    </row>
    <row r="33" spans="1:22" ht="16.5" thickBot="1" x14ac:dyDescent="0.3">
      <c r="A33" s="4" t="s">
        <v>86</v>
      </c>
      <c r="B33" s="15" t="s">
        <v>87</v>
      </c>
      <c r="C33" s="4" t="s">
        <v>88</v>
      </c>
      <c r="D33" s="5">
        <v>50</v>
      </c>
      <c r="E33" s="5">
        <v>50</v>
      </c>
      <c r="F33" s="13" t="s">
        <v>12</v>
      </c>
      <c r="G33" s="7" t="str">
        <f t="shared" si="0"/>
        <v>Standerd Price</v>
      </c>
      <c r="H33" s="7" t="str">
        <f t="shared" si="1"/>
        <v>02</v>
      </c>
      <c r="I33" s="7" t="str">
        <f t="shared" si="2"/>
        <v>CA</v>
      </c>
      <c r="J33" t="str">
        <f t="shared" si="3"/>
        <v>DEC-CA</v>
      </c>
      <c r="M33" s="7"/>
      <c r="N33" s="8" t="s">
        <v>107</v>
      </c>
      <c r="O33" s="7"/>
      <c r="P33" s="7"/>
      <c r="Q33" s="7"/>
      <c r="R33" s="7"/>
      <c r="S33" s="7"/>
      <c r="T33" s="7"/>
    </row>
    <row r="34" spans="1:22" ht="15.75" thickBot="1" x14ac:dyDescent="0.3">
      <c r="A34" s="2" t="s">
        <v>39</v>
      </c>
      <c r="B34" s="14" t="s">
        <v>6</v>
      </c>
      <c r="C34" s="2" t="s">
        <v>40</v>
      </c>
      <c r="D34" s="3">
        <v>950</v>
      </c>
      <c r="E34" s="3">
        <v>25</v>
      </c>
      <c r="F34" s="12" t="s">
        <v>8</v>
      </c>
      <c r="G34" s="7" t="str">
        <f t="shared" si="0"/>
        <v>High Price</v>
      </c>
      <c r="H34" s="7" t="str">
        <f t="shared" si="1"/>
        <v>17</v>
      </c>
      <c r="I34" s="7" t="str">
        <f t="shared" si="2"/>
        <v>IN</v>
      </c>
      <c r="J34" t="str">
        <f t="shared" si="3"/>
        <v>JUN-IN</v>
      </c>
      <c r="L34" s="24" t="s">
        <v>95</v>
      </c>
      <c r="P34" s="11">
        <f>COUNTIF(D2:D35,"&lt;$100")</f>
        <v>11</v>
      </c>
    </row>
    <row r="35" spans="1:22" ht="15.75" thickBot="1" x14ac:dyDescent="0.3">
      <c r="A35" s="4" t="s">
        <v>89</v>
      </c>
      <c r="B35" s="19" t="s">
        <v>90</v>
      </c>
      <c r="C35" s="20" t="s">
        <v>91</v>
      </c>
      <c r="D35" s="21">
        <v>100</v>
      </c>
      <c r="E35" s="21">
        <v>20</v>
      </c>
      <c r="F35" s="22" t="s">
        <v>52</v>
      </c>
      <c r="G35" s="7" t="str">
        <f t="shared" si="0"/>
        <v>Standerd Price</v>
      </c>
      <c r="H35" s="7" t="str">
        <f t="shared" si="1"/>
        <v>09</v>
      </c>
      <c r="I35" s="7" t="str">
        <f t="shared" si="2"/>
        <v>FR</v>
      </c>
      <c r="J35" t="str">
        <f t="shared" si="3"/>
        <v>JUL-FR</v>
      </c>
    </row>
    <row r="36" spans="1:22" x14ac:dyDescent="0.25">
      <c r="D36" s="11">
        <f>SUM(D2:D35)</f>
        <v>10100</v>
      </c>
      <c r="E36" s="11">
        <f>COUNT(E2:E35)</f>
        <v>34</v>
      </c>
    </row>
    <row r="37" spans="1:22" ht="15.75" x14ac:dyDescent="0.25">
      <c r="M37" s="6" t="s">
        <v>109</v>
      </c>
      <c r="N37" s="7"/>
      <c r="O37" s="7"/>
      <c r="P37" s="7"/>
      <c r="Q37" s="7"/>
      <c r="R37" s="7"/>
      <c r="S37" s="7"/>
      <c r="T37" s="7"/>
      <c r="U37" s="7"/>
      <c r="V37" s="7"/>
    </row>
    <row r="38" spans="1:22" ht="15.75" x14ac:dyDescent="0.25">
      <c r="M38" s="7"/>
      <c r="N38" s="8" t="s">
        <v>110</v>
      </c>
      <c r="O38" s="7"/>
      <c r="P38" s="7"/>
      <c r="Q38" s="7"/>
      <c r="R38" s="7"/>
      <c r="S38" s="7"/>
      <c r="T38" s="7"/>
      <c r="U38" s="7"/>
      <c r="V38" s="7"/>
    </row>
    <row r="39" spans="1:22" ht="15.75" x14ac:dyDescent="0.25">
      <c r="M39" s="7"/>
      <c r="N39" s="8" t="s">
        <v>111</v>
      </c>
      <c r="O39" s="7"/>
      <c r="P39" s="7"/>
      <c r="Q39" s="7"/>
      <c r="R39" s="7"/>
      <c r="S39" s="7"/>
      <c r="T39" s="7"/>
      <c r="U39" s="7"/>
      <c r="V39" s="7"/>
    </row>
    <row r="40" spans="1:22" ht="15.75" x14ac:dyDescent="0.25">
      <c r="M40" s="7"/>
      <c r="N40" s="8" t="s">
        <v>112</v>
      </c>
      <c r="O40" s="7"/>
      <c r="P40" s="7"/>
      <c r="Q40" s="7"/>
      <c r="R40" s="7"/>
      <c r="S40" s="7"/>
      <c r="T40" s="7"/>
      <c r="U40" s="7"/>
      <c r="V40" s="7"/>
    </row>
    <row r="41" spans="1:22" x14ac:dyDescent="0.25">
      <c r="M41" s="7"/>
      <c r="N41" s="7"/>
      <c r="O41" s="7"/>
      <c r="P41" s="7"/>
      <c r="Q41" s="7"/>
      <c r="R41" s="7"/>
      <c r="S41" s="7"/>
      <c r="T41" s="7"/>
      <c r="U41" s="7"/>
      <c r="V41" s="7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athira tr</dc:creator>
  <cp:lastModifiedBy>Administrator</cp:lastModifiedBy>
  <dcterms:created xsi:type="dcterms:W3CDTF">2026-07-16T05:06:40Z</dcterms:created>
  <dcterms:modified xsi:type="dcterms:W3CDTF">2026-10-16T15:27:09Z</dcterms:modified>
</cp:coreProperties>
</file>